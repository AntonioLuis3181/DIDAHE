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quipo\Desktop\Oficina-DAM\2ºDAM\DIDAHE\T2 - Práctica React - 29012026\"/>
    </mc:Choice>
  </mc:AlternateContent>
  <xr:revisionPtr revIDLastSave="0" documentId="13_ncr:1_{CF3646E4-7083-4ADC-B52B-44451E6760A4}" xr6:coauthVersionLast="47" xr6:coauthVersionMax="47" xr10:uidLastSave="{00000000-0000-0000-0000-000000000000}"/>
  <bookViews>
    <workbookView xWindow="-108" yWindow="-108" windowWidth="23256" windowHeight="13176" xr2:uid="{360ED738-5174-48CE-9540-6C3D0194F059}"/>
  </bookViews>
  <sheets>
    <sheet name="PUNTU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5" i="1"/>
  <c r="G28" i="1"/>
  <c r="G10" i="1"/>
  <c r="G11" i="1"/>
  <c r="G12" i="1"/>
  <c r="G9" i="1"/>
  <c r="G23" i="1"/>
  <c r="G24" i="1"/>
  <c r="G25" i="1"/>
  <c r="G26" i="1"/>
  <c r="G27" i="1"/>
  <c r="G22" i="1"/>
  <c r="G16" i="1"/>
  <c r="G17" i="1"/>
  <c r="G18" i="1"/>
  <c r="G29" i="1" l="1"/>
  <c r="G13" i="1"/>
  <c r="G20" i="1"/>
  <c r="G30" i="1" l="1"/>
</calcChain>
</file>

<file path=xl/sharedStrings.xml><?xml version="1.0" encoding="utf-8"?>
<sst xmlns="http://schemas.openxmlformats.org/spreadsheetml/2006/main" count="67" uniqueCount="33">
  <si>
    <t>APLICACIÓN</t>
  </si>
  <si>
    <t>PRESENTACIÓN</t>
  </si>
  <si>
    <t>X</t>
  </si>
  <si>
    <t>ESQUEMA RELACIONAL</t>
  </si>
  <si>
    <t>TABLA PUNTUCIÓN</t>
  </si>
  <si>
    <t>PUNTOS</t>
  </si>
  <si>
    <t>MODIFICACIÓN REGISTRO BUSCADO</t>
  </si>
  <si>
    <t>BORRADO DE UN REGISTRO</t>
  </si>
  <si>
    <t>LISTADO SIN PARAMETRIZAR</t>
  </si>
  <si>
    <t>LISTADO PARAMETRIZADO</t>
  </si>
  <si>
    <t>0,50/ENTIDAD</t>
  </si>
  <si>
    <t>LISTADO PARAMETRIZADO FECHAS</t>
  </si>
  <si>
    <t>LANDPAGE+CARRUSEL+TEXTO+PIE</t>
  </si>
  <si>
    <t>LISTADO PAGINADO</t>
  </si>
  <si>
    <t>ALTERNAR TEMA OSCURO Y CLARO</t>
  </si>
  <si>
    <t>LISTADO CARDS PAGINADO</t>
  </si>
  <si>
    <t>LISTADO CON DATAGRID</t>
  </si>
  <si>
    <t>TABLA DE PUNTUACIÓN DE LA PRÁCTICA</t>
  </si>
  <si>
    <t>INSTRUCCIONES</t>
  </si>
  <si>
    <t>1. CAMBIAR NOMBRE DE ENTIDADES EN LAS COLUMNAS (COLOR ROJO)</t>
  </si>
  <si>
    <t>2. INDICAR CON UNA X LAS PARTES REALIZADAS</t>
  </si>
  <si>
    <t>TOTAL</t>
  </si>
  <si>
    <t>PTOS. POSIBLES</t>
  </si>
  <si>
    <t>3. REVISAR QUE LA SUMA DE PTOS. POSIBLES SUPERA LOS 5 PUNTOS</t>
  </si>
  <si>
    <t>TOTAL PUNTOS POSIBLES PRÁCTICA</t>
  </si>
  <si>
    <t>ENLACE REPOSITORIO GITHUB</t>
  </si>
  <si>
    <t>MÁXIMO DE PUNTUACIÓN: 2 PUNTOS</t>
  </si>
  <si>
    <t>MÁXIMO DE PUNTUACIÓN: 6 PUNTOS</t>
  </si>
  <si>
    <t>ALTA REGISTRO CON VALIDACIÓN</t>
  </si>
  <si>
    <t>0,75/ENTIDAD</t>
  </si>
  <si>
    <t>MAQUETACIÓN RESPONSIVE GRID</t>
  </si>
  <si>
    <t>CURSO</t>
  </si>
  <si>
    <t>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</si>
</sst>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rgb="FFFF0000"/>
      <name val="Aptos"/>
      <family val="2"/>
    </font>
    <font>
      <b/>
      <sz val="10"/>
      <color theme="0"/>
      <name val="Aptos"/>
      <family val="2"/>
    </font>
    <font>
      <sz val="10"/>
      <color theme="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6" xfId="0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 applyAlignment="1">
      <alignment vertical="center"/>
    </xf>
    <xf numFmtId="0" fontId="0" fillId="0" borderId="10" xfId="0" applyBorder="1"/>
    <xf numFmtId="0" fontId="2" fillId="0" borderId="11" xfId="0" applyFont="1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6" fillId="2" borderId="1" xfId="0" applyFont="1" applyFill="1" applyBorder="1"/>
    <xf numFmtId="0" fontId="2" fillId="0" borderId="0" xfId="0" applyFont="1" applyBorder="1" applyAlignment="1">
      <alignment vertical="center"/>
    </xf>
    <xf numFmtId="0" fontId="0" fillId="0" borderId="0" xfId="0" applyBorder="1"/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82D4-F57D-4CFD-BFA4-F37D7E897A75}">
  <dimension ref="C1:H30"/>
  <sheetViews>
    <sheetView tabSelected="1" topLeftCell="A10" zoomScale="130" zoomScaleNormal="130" workbookViewId="0">
      <selection activeCell="D28" sqref="D28:E28"/>
    </sheetView>
  </sheetViews>
  <sheetFormatPr baseColWidth="10" defaultRowHeight="14.4" x14ac:dyDescent="0.3"/>
  <cols>
    <col min="3" max="3" width="31.33203125" customWidth="1"/>
    <col min="4" max="4" width="12.109375" customWidth="1"/>
    <col min="6" max="6" width="16" customWidth="1"/>
    <col min="7" max="7" width="17.5546875" customWidth="1"/>
    <col min="8" max="8" width="14" customWidth="1"/>
  </cols>
  <sheetData>
    <row r="1" spans="3:8" ht="15" thickBot="1" x14ac:dyDescent="0.35"/>
    <row r="2" spans="3:8" x14ac:dyDescent="0.3">
      <c r="C2" s="14" t="s">
        <v>18</v>
      </c>
      <c r="D2" s="15"/>
      <c r="E2" s="15"/>
      <c r="F2" s="15"/>
      <c r="G2" s="16"/>
      <c r="H2" s="24"/>
    </row>
    <row r="3" spans="3:8" x14ac:dyDescent="0.3">
      <c r="C3" s="17" t="s">
        <v>19</v>
      </c>
      <c r="D3" s="24"/>
      <c r="E3" s="24"/>
      <c r="F3" s="24"/>
      <c r="G3" s="18"/>
      <c r="H3" s="24"/>
    </row>
    <row r="4" spans="3:8" x14ac:dyDescent="0.3">
      <c r="C4" s="17" t="s">
        <v>20</v>
      </c>
      <c r="D4" s="24"/>
      <c r="E4" s="24"/>
      <c r="F4" s="24"/>
      <c r="G4" s="18"/>
      <c r="H4" s="24"/>
    </row>
    <row r="5" spans="3:8" ht="15" thickBot="1" x14ac:dyDescent="0.35">
      <c r="C5" s="19" t="s">
        <v>23</v>
      </c>
      <c r="D5" s="20"/>
      <c r="E5" s="20"/>
      <c r="F5" s="20"/>
      <c r="G5" s="21"/>
      <c r="H5" s="24"/>
    </row>
    <row r="6" spans="3:8" x14ac:dyDescent="0.3">
      <c r="C6" s="23"/>
      <c r="D6" s="24"/>
      <c r="E6" s="24"/>
      <c r="F6" s="24"/>
      <c r="G6" s="24"/>
      <c r="H6" s="24"/>
    </row>
    <row r="7" spans="3:8" x14ac:dyDescent="0.3">
      <c r="C7" s="25" t="s">
        <v>17</v>
      </c>
      <c r="D7" s="26"/>
      <c r="E7" s="26"/>
      <c r="F7" s="26"/>
      <c r="G7" s="26"/>
    </row>
    <row r="8" spans="3:8" x14ac:dyDescent="0.3">
      <c r="C8" s="1"/>
      <c r="D8" s="27" t="s">
        <v>0</v>
      </c>
      <c r="E8" s="28"/>
      <c r="F8" s="8" t="s">
        <v>5</v>
      </c>
      <c r="G8" s="8" t="s">
        <v>22</v>
      </c>
    </row>
    <row r="9" spans="3:8" x14ac:dyDescent="0.3">
      <c r="C9" s="2" t="s">
        <v>1</v>
      </c>
      <c r="D9" s="29" t="s">
        <v>2</v>
      </c>
      <c r="E9" s="30"/>
      <c r="F9" s="3">
        <v>0.5</v>
      </c>
      <c r="G9" s="13">
        <f>COUNTIF(D9:E9,"=X")*0.5</f>
        <v>0.5</v>
      </c>
    </row>
    <row r="10" spans="3:8" x14ac:dyDescent="0.3">
      <c r="C10" s="2" t="s">
        <v>3</v>
      </c>
      <c r="D10" s="29" t="s">
        <v>2</v>
      </c>
      <c r="E10" s="30"/>
      <c r="F10" s="3">
        <v>0.5</v>
      </c>
      <c r="G10" s="13">
        <f t="shared" ref="G10:G12" si="0">COUNTIF(D10:E10,"=X")*0.5</f>
        <v>0.5</v>
      </c>
    </row>
    <row r="11" spans="3:8" x14ac:dyDescent="0.3">
      <c r="C11" s="2" t="s">
        <v>4</v>
      </c>
      <c r="D11" s="29" t="s">
        <v>2</v>
      </c>
      <c r="E11" s="30"/>
      <c r="F11" s="3">
        <v>0.5</v>
      </c>
      <c r="G11" s="13">
        <f t="shared" si="0"/>
        <v>0.5</v>
      </c>
    </row>
    <row r="12" spans="3:8" x14ac:dyDescent="0.3">
      <c r="C12" s="2" t="s">
        <v>25</v>
      </c>
      <c r="D12" s="29" t="s">
        <v>2</v>
      </c>
      <c r="E12" s="30"/>
      <c r="F12" s="3">
        <v>0.5</v>
      </c>
      <c r="G12" s="13">
        <f t="shared" si="0"/>
        <v>0.5</v>
      </c>
    </row>
    <row r="13" spans="3:8" x14ac:dyDescent="0.3">
      <c r="C13" s="22" t="s">
        <v>26</v>
      </c>
      <c r="D13" s="5"/>
      <c r="E13" s="4"/>
      <c r="F13" s="12" t="s">
        <v>21</v>
      </c>
      <c r="G13" s="12">
        <f>MIN(2,SUM(G9:G12))</f>
        <v>2</v>
      </c>
    </row>
    <row r="14" spans="3:8" ht="27.6" x14ac:dyDescent="0.3">
      <c r="C14" s="1"/>
      <c r="D14" s="10" t="s">
        <v>32</v>
      </c>
      <c r="E14" s="10" t="s">
        <v>31</v>
      </c>
      <c r="F14" s="11" t="s">
        <v>5</v>
      </c>
      <c r="G14" s="11" t="s">
        <v>22</v>
      </c>
    </row>
    <row r="15" spans="3:8" x14ac:dyDescent="0.3">
      <c r="C15" s="6" t="s">
        <v>28</v>
      </c>
      <c r="D15" s="3" t="s">
        <v>2</v>
      </c>
      <c r="E15" s="3" t="s">
        <v>2</v>
      </c>
      <c r="F15" s="3" t="s">
        <v>29</v>
      </c>
      <c r="G15" s="13">
        <f>COUNTIF(D15:E15,"=X")*0.75</f>
        <v>1.5</v>
      </c>
    </row>
    <row r="16" spans="3:8" x14ac:dyDescent="0.3">
      <c r="C16" s="7" t="s">
        <v>6</v>
      </c>
      <c r="D16" s="3" t="s">
        <v>2</v>
      </c>
      <c r="E16" s="3" t="s">
        <v>2</v>
      </c>
      <c r="F16" s="3" t="s">
        <v>10</v>
      </c>
      <c r="G16" s="13">
        <f t="shared" ref="G16:G18" si="1">COUNTIF(D16:E16,"=X")*0.5</f>
        <v>1</v>
      </c>
    </row>
    <row r="17" spans="3:7" x14ac:dyDescent="0.3">
      <c r="C17" s="7" t="s">
        <v>7</v>
      </c>
      <c r="D17" s="3" t="s">
        <v>2</v>
      </c>
      <c r="E17" s="3" t="s">
        <v>2</v>
      </c>
      <c r="F17" s="3" t="s">
        <v>10</v>
      </c>
      <c r="G17" s="13">
        <f t="shared" si="1"/>
        <v>1</v>
      </c>
    </row>
    <row r="18" spans="3:7" x14ac:dyDescent="0.3">
      <c r="C18" s="7" t="s">
        <v>8</v>
      </c>
      <c r="D18" s="3" t="s">
        <v>2</v>
      </c>
      <c r="E18" s="3" t="s">
        <v>2</v>
      </c>
      <c r="F18" s="3" t="s">
        <v>10</v>
      </c>
      <c r="G18" s="13">
        <f t="shared" si="1"/>
        <v>1</v>
      </c>
    </row>
    <row r="19" spans="3:7" x14ac:dyDescent="0.3">
      <c r="C19" s="7" t="s">
        <v>9</v>
      </c>
      <c r="D19" s="3" t="s">
        <v>2</v>
      </c>
      <c r="E19" s="3" t="s">
        <v>2</v>
      </c>
      <c r="F19" s="3" t="s">
        <v>29</v>
      </c>
      <c r="G19" s="13">
        <f>COUNTIF(D19:E19,"=X")*0.75</f>
        <v>1.5</v>
      </c>
    </row>
    <row r="20" spans="3:7" x14ac:dyDescent="0.3">
      <c r="C20" s="22" t="s">
        <v>27</v>
      </c>
      <c r="D20" s="9"/>
      <c r="E20" s="9"/>
      <c r="F20" s="12" t="s">
        <v>21</v>
      </c>
      <c r="G20" s="12">
        <f>MIN(6,SUM(G15:G19))</f>
        <v>6</v>
      </c>
    </row>
    <row r="21" spans="3:7" ht="27.6" x14ac:dyDescent="0.3">
      <c r="C21" s="1"/>
      <c r="D21" s="10" t="s">
        <v>32</v>
      </c>
      <c r="E21" s="10" t="s">
        <v>31</v>
      </c>
      <c r="F21" s="11" t="s">
        <v>5</v>
      </c>
      <c r="G21" s="11" t="s">
        <v>22</v>
      </c>
    </row>
    <row r="22" spans="3:7" x14ac:dyDescent="0.3">
      <c r="C22" s="7" t="s">
        <v>11</v>
      </c>
      <c r="D22" s="3" t="s">
        <v>2</v>
      </c>
      <c r="E22" s="3" t="s">
        <v>2</v>
      </c>
      <c r="F22" s="3">
        <v>0.5</v>
      </c>
      <c r="G22" s="3">
        <f t="shared" ref="G22:G28" si="2">COUNTIF(D22:E22,"=X")*F22</f>
        <v>1</v>
      </c>
    </row>
    <row r="23" spans="3:7" x14ac:dyDescent="0.3">
      <c r="C23" s="7" t="s">
        <v>13</v>
      </c>
      <c r="D23" s="3" t="s">
        <v>2</v>
      </c>
      <c r="E23" s="3" t="s">
        <v>2</v>
      </c>
      <c r="F23" s="3">
        <v>0.5</v>
      </c>
      <c r="G23" s="3">
        <f t="shared" si="2"/>
        <v>1</v>
      </c>
    </row>
    <row r="24" spans="3:7" x14ac:dyDescent="0.3">
      <c r="C24" s="7" t="s">
        <v>15</v>
      </c>
      <c r="D24" s="3" t="s">
        <v>2</v>
      </c>
      <c r="E24" s="3" t="s">
        <v>2</v>
      </c>
      <c r="F24" s="3">
        <v>0.5</v>
      </c>
      <c r="G24" s="3">
        <f t="shared" si="2"/>
        <v>1</v>
      </c>
    </row>
    <row r="25" spans="3:7" x14ac:dyDescent="0.3">
      <c r="C25" s="7" t="s">
        <v>16</v>
      </c>
      <c r="D25" s="3" t="s">
        <v>2</v>
      </c>
      <c r="E25" s="3"/>
      <c r="F25" s="3">
        <v>0.5</v>
      </c>
      <c r="G25" s="3">
        <f t="shared" si="2"/>
        <v>0.5</v>
      </c>
    </row>
    <row r="26" spans="3:7" x14ac:dyDescent="0.3">
      <c r="C26" s="7" t="s">
        <v>12</v>
      </c>
      <c r="D26" s="34" t="s">
        <v>2</v>
      </c>
      <c r="E26" s="34"/>
      <c r="F26" s="3">
        <v>0.5</v>
      </c>
      <c r="G26" s="3">
        <f t="shared" si="2"/>
        <v>0.5</v>
      </c>
    </row>
    <row r="27" spans="3:7" x14ac:dyDescent="0.3">
      <c r="C27" s="7" t="s">
        <v>30</v>
      </c>
      <c r="D27" s="34" t="s">
        <v>2</v>
      </c>
      <c r="E27" s="34"/>
      <c r="F27" s="3">
        <v>0.5</v>
      </c>
      <c r="G27" s="3">
        <f t="shared" si="2"/>
        <v>0.5</v>
      </c>
    </row>
    <row r="28" spans="3:7" x14ac:dyDescent="0.3">
      <c r="C28" s="7" t="s">
        <v>14</v>
      </c>
      <c r="D28" s="29"/>
      <c r="E28" s="30"/>
      <c r="F28" s="3">
        <v>0.5</v>
      </c>
      <c r="G28" s="3">
        <f t="shared" si="2"/>
        <v>0</v>
      </c>
    </row>
    <row r="29" spans="3:7" x14ac:dyDescent="0.3">
      <c r="C29" s="22" t="s">
        <v>26</v>
      </c>
      <c r="D29" s="9"/>
      <c r="E29" s="9"/>
      <c r="F29" s="12" t="s">
        <v>21</v>
      </c>
      <c r="G29" s="12">
        <f>MIN(2,SUM(G23:G28))</f>
        <v>2</v>
      </c>
    </row>
    <row r="30" spans="3:7" x14ac:dyDescent="0.3">
      <c r="C30" s="31" t="s">
        <v>24</v>
      </c>
      <c r="D30" s="32"/>
      <c r="E30" s="32"/>
      <c r="F30" s="33"/>
      <c r="G30" s="8">
        <f>MIN(10,SUM(G29,G20,G13))</f>
        <v>10</v>
      </c>
    </row>
  </sheetData>
  <mergeCells count="10">
    <mergeCell ref="D12:E12"/>
    <mergeCell ref="C30:F30"/>
    <mergeCell ref="D28:E28"/>
    <mergeCell ref="D26:E26"/>
    <mergeCell ref="D27:E27"/>
    <mergeCell ref="C7:G7"/>
    <mergeCell ref="D8:E8"/>
    <mergeCell ref="D9:E9"/>
    <mergeCell ref="D10:E10"/>
    <mergeCell ref="D11:E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Rodriguez Parrales</dc:creator>
  <cp:lastModifiedBy>Antonio Luis Vela García</cp:lastModifiedBy>
  <dcterms:created xsi:type="dcterms:W3CDTF">2025-01-22T23:47:48Z</dcterms:created>
  <dcterms:modified xsi:type="dcterms:W3CDTF">2026-01-26T13:51:13Z</dcterms:modified>
</cp:coreProperties>
</file>